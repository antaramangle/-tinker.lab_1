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ntara 1\"/>
    </mc:Choice>
  </mc:AlternateContent>
  <bookViews>
    <workbookView xWindow="0" yWindow="0" windowWidth="21570" windowHeight="79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1" l="1"/>
  <c r="L2" i="1"/>
  <c r="L11" i="1"/>
  <c r="L5" i="1"/>
  <c r="L6" i="1"/>
  <c r="L3" i="1"/>
  <c r="L9" i="1"/>
  <c r="L4" i="1"/>
  <c r="L10" i="1"/>
  <c r="M10" i="1" s="1"/>
  <c r="L16" i="1"/>
  <c r="M16" i="1" s="1"/>
  <c r="L8" i="1"/>
  <c r="M8" i="1" s="1"/>
  <c r="L13" i="1"/>
  <c r="L15" i="1"/>
  <c r="L14" i="1"/>
  <c r="L12" i="1"/>
  <c r="K12" i="1"/>
  <c r="K7" i="1"/>
  <c r="M7" i="1" s="1"/>
  <c r="K2" i="1"/>
  <c r="K11" i="1"/>
  <c r="K5" i="1"/>
  <c r="K6" i="1"/>
  <c r="K3" i="1"/>
  <c r="K9" i="1"/>
  <c r="K4" i="1"/>
  <c r="K10" i="1"/>
  <c r="K16" i="1"/>
  <c r="K8" i="1"/>
  <c r="K13" i="1"/>
  <c r="K15" i="1"/>
  <c r="M15" i="1" s="1"/>
  <c r="K14" i="1"/>
  <c r="J12" i="1"/>
  <c r="J7" i="1"/>
  <c r="J2" i="1"/>
  <c r="J11" i="1"/>
  <c r="J5" i="1"/>
  <c r="J6" i="1"/>
  <c r="J3" i="1"/>
  <c r="J9" i="1"/>
  <c r="J4" i="1"/>
  <c r="J10" i="1"/>
  <c r="J16" i="1"/>
  <c r="J8" i="1"/>
  <c r="J13" i="1"/>
  <c r="J15" i="1"/>
  <c r="J14" i="1"/>
  <c r="M3" i="1" l="1"/>
  <c r="M4" i="1"/>
  <c r="M9" i="1"/>
  <c r="M6" i="1"/>
  <c r="M5" i="1"/>
  <c r="M2" i="1"/>
  <c r="M12" i="1"/>
  <c r="M11" i="1"/>
  <c r="M14" i="1"/>
  <c r="M13" i="1"/>
</calcChain>
</file>

<file path=xl/sharedStrings.xml><?xml version="1.0" encoding="utf-8"?>
<sst xmlns="http://schemas.openxmlformats.org/spreadsheetml/2006/main" count="43" uniqueCount="32">
  <si>
    <t>SR_NO</t>
  </si>
  <si>
    <t>PRN</t>
  </si>
  <si>
    <t>NAME</t>
  </si>
  <si>
    <t>Simrat</t>
  </si>
  <si>
    <t>Kalandi</t>
  </si>
  <si>
    <t>Arya</t>
  </si>
  <si>
    <t>Iraj</t>
  </si>
  <si>
    <t>Nayra</t>
  </si>
  <si>
    <t>Antara</t>
  </si>
  <si>
    <t>Ranbir</t>
  </si>
  <si>
    <t>Imran</t>
  </si>
  <si>
    <t>Kaira</t>
  </si>
  <si>
    <t>Jayarjun</t>
  </si>
  <si>
    <t>Kiara</t>
  </si>
  <si>
    <t>Samira</t>
  </si>
  <si>
    <t>Krish</t>
  </si>
  <si>
    <t>Ananya</t>
  </si>
  <si>
    <t>Salma</t>
  </si>
  <si>
    <t xml:space="preserve">TOTAL </t>
  </si>
  <si>
    <t>SUBJECT 1</t>
  </si>
  <si>
    <t>SUBJECT 2</t>
  </si>
  <si>
    <t>SUBJECT 3</t>
  </si>
  <si>
    <t>SUBJECT 4</t>
  </si>
  <si>
    <t>SUBJECT 5</t>
  </si>
  <si>
    <t>OPTIONAL S</t>
  </si>
  <si>
    <t xml:space="preserve">PERCENTAGE </t>
  </si>
  <si>
    <t>RESULT</t>
  </si>
  <si>
    <t>DIST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</si>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</sst>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₹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5">
    <xf numFmtId="0" fontId="0" fillId="0" borderId="0" xfId="0"/>
    <xf numFmtId="0" fontId="2" fillId="2" borderId="1" xfId="2" applyFont="1" applyFill="1" applyBorder="1" applyAlignment="1">
      <alignment horizontal="center"/>
    </xf>
    <xf numFmtId="0" fontId="2" fillId="0" borderId="2" xfId="2" applyFont="1" applyFill="1" applyBorder="1" applyAlignment="1">
      <alignment horizontal="right" wrapText="1"/>
    </xf>
    <xf numFmtId="0" fontId="2" fillId="0" borderId="2" xfId="2" applyFont="1" applyFill="1" applyBorder="1" applyAlignment="1">
      <alignment wrapText="1"/>
    </xf>
    <xf numFmtId="0" fontId="2" fillId="2" borderId="3" xfId="2" applyFont="1" applyFill="1" applyBorder="1" applyAlignment="1">
      <alignment horizontal="center"/>
    </xf>
    <xf numFmtId="0" fontId="2" fillId="0" borderId="4" xfId="2" applyFont="1" applyFill="1" applyBorder="1" applyAlignment="1">
      <alignment horizontal="right" wrapText="1"/>
    </xf>
    <xf numFmtId="0" fontId="2" fillId="0" borderId="5" xfId="2" applyFont="1" applyFill="1" applyBorder="1" applyAlignment="1">
      <alignment horizontal="right" wrapText="1"/>
    </xf>
    <xf numFmtId="0" fontId="2" fillId="0" borderId="0" xfId="2" applyFont="1" applyFill="1" applyBorder="1" applyAlignment="1">
      <alignment horizontal="right" wrapText="1"/>
    </xf>
    <xf numFmtId="0" fontId="2" fillId="2" borderId="1" xfId="2" applyFont="1" applyFill="1" applyBorder="1" applyAlignment="1">
      <alignment horizontal="left"/>
    </xf>
    <xf numFmtId="0" fontId="2" fillId="0" borderId="2" xfId="2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1" xfId="2" applyFont="1" applyFill="1" applyBorder="1" applyAlignment="1"/>
    <xf numFmtId="0" fontId="0" fillId="0" borderId="0" xfId="0" applyAlignment="1"/>
    <xf numFmtId="168" fontId="2" fillId="2" borderId="1" xfId="1" applyNumberFormat="1" applyFont="1" applyFill="1" applyBorder="1" applyAlignment="1">
      <alignment horizontal="center"/>
    </xf>
    <xf numFmtId="0" fontId="2" fillId="0" borderId="0" xfId="2" applyFont="1" applyFill="1" applyAlignment="1">
      <alignment horizontal="right" wrapText="1"/>
    </xf>
  </cellXfs>
  <cellStyles count="3">
    <cellStyle name="Normal" xfId="0" builtinId="0"/>
    <cellStyle name="Normal_Sheet1" xfId="2"/>
    <cellStyle name="Percent" xfId="1" builtinId="5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6" totalsRowShown="0" headerRowDxfId="14" dataDxfId="13" headerRowCellStyle="Normal_Sheet1" dataCellStyle="Normal_Sheet1">
  <autoFilter ref="A1:M16"/>
  <sortState ref="A2:M16">
    <sortCondition descending="1" ref="K1:K16"/>
  </sortState>
  <tableColumns count="13">
    <tableColumn id="1" name="SR_NO" dataDxfId="12" dataCellStyle="Normal_Sheet1"/>
    <tableColumn id="2" name="PRN" dataDxfId="11" dataCellStyle="Normal_Sheet1"/>
    <tableColumn id="3" name="NAME" dataDxfId="10" dataCellStyle="Normal_Sheet1"/>
    <tableColumn id="4" name="SUBJECT 1" dataDxfId="9" dataCellStyle="Normal_Sheet1"/>
    <tableColumn id="5" name="SUBJECT 2" dataDxfId="8" dataCellStyle="Normal_Sheet1"/>
    <tableColumn id="6" name="SUBJECT 3" dataDxfId="7" dataCellStyle="Normal_Sheet1"/>
    <tableColumn id="7" name="SUBJECT 4" dataDxfId="6" dataCellStyle="Normal_Sheet1"/>
    <tableColumn id="8" name="SUBJECT 5" dataDxfId="5" dataCellStyle="Normal_Sheet1"/>
    <tableColumn id="10" name="OPTIONAL S" dataDxfId="4" dataCellStyle="Normal_Sheet1"/>
    <tableColumn id="9" name="TOTAL " dataDxfId="3" dataCellStyle="Normal_Sheet1">
      <calculatedColumnFormula>SUM(D2:H2)</calculatedColumnFormula>
    </tableColumn>
    <tableColumn id="11" name="PERCENTAGE " dataDxfId="2" dataCellStyle="Normal_Sheet1">
      <calculatedColumnFormula>AVERAGE(D2:H2)</calculatedColumnFormula>
    </tableColumn>
    <tableColumn id="12" name="RESULT" dataDxfId="1" dataCellStyle="Normal_Sheet1">
      <calculatedColumnFormula>IF(AND(D2&gt;=50,E2&gt;=50,F2&gt;=50,G2&gt;=50,H2&gt;=50,OR(I2="A",I2="B",I3="C")),"Pass","Fail")</calculatedColumnFormula>
    </tableColumn>
    <tableColumn id="13" name="DIST" dataDxfId="0" dataCellStyle="Normal_Sheet1">
      <calculatedColumnFormula>IF(AND(L2="PASS",K2&gt;=70),"DIST","NO DIST")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N2" sqref="N2"/>
    </sheetView>
  </sheetViews>
  <sheetFormatPr defaultRowHeight="15" x14ac:dyDescent="0.25"/>
  <cols>
    <col min="1" max="2" width="9.140625" style="10"/>
    <col min="3" max="3" width="9.140625" style="12"/>
    <col min="4" max="4" width="12" customWidth="1"/>
    <col min="5" max="5" width="15.5703125" customWidth="1"/>
    <col min="6" max="6" width="12" customWidth="1"/>
    <col min="7" max="7" width="14" customWidth="1"/>
    <col min="8" max="9" width="14.28515625" customWidth="1"/>
    <col min="10" max="10" width="12.5703125" customWidth="1"/>
    <col min="11" max="11" width="15.5703125" customWidth="1"/>
    <col min="12" max="12" width="13" customWidth="1"/>
    <col min="13" max="13" width="11.42578125" customWidth="1"/>
  </cols>
  <sheetData>
    <row r="1" spans="1:13" x14ac:dyDescent="0.25">
      <c r="A1" s="8" t="s">
        <v>0</v>
      </c>
      <c r="B1" s="8" t="s">
        <v>1</v>
      </c>
      <c r="C1" s="11" t="s">
        <v>2</v>
      </c>
      <c r="D1" s="1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13" t="s">
        <v>18</v>
      </c>
      <c r="K1" s="4" t="s">
        <v>25</v>
      </c>
      <c r="L1" s="4" t="s">
        <v>26</v>
      </c>
      <c r="M1" s="4" t="s">
        <v>27</v>
      </c>
    </row>
    <row r="2" spans="1:13" x14ac:dyDescent="0.25">
      <c r="A2" s="9">
        <v>3</v>
      </c>
      <c r="B2" s="9">
        <v>183</v>
      </c>
      <c r="C2" s="3" t="s">
        <v>5</v>
      </c>
      <c r="D2" s="2">
        <v>96</v>
      </c>
      <c r="E2" s="2">
        <v>86</v>
      </c>
      <c r="F2" s="2">
        <v>84</v>
      </c>
      <c r="G2" s="5">
        <v>90</v>
      </c>
      <c r="H2" s="5">
        <v>98</v>
      </c>
      <c r="I2" s="2" t="s">
        <v>30</v>
      </c>
      <c r="J2" s="2">
        <f>SUM(D2:H2)</f>
        <v>454</v>
      </c>
      <c r="K2" s="14">
        <f>AVERAGE(D2:H2)</f>
        <v>90.8</v>
      </c>
      <c r="L2" s="14" t="str">
        <f>IF(AND(D2&gt;=50,E2&gt;=50,F2&gt;=50,G2&gt;=50,H2&gt;=50,OR(I2="A",I2="B",I3="C")),"Pass","Fail")</f>
        <v>Pass</v>
      </c>
      <c r="M2" s="14" t="str">
        <f>IF(AND(L2="PASS",K2&gt;=70),"DIST","NO DIST")</f>
        <v>DIST</v>
      </c>
    </row>
    <row r="3" spans="1:13" x14ac:dyDescent="0.25">
      <c r="A3" s="9">
        <v>7</v>
      </c>
      <c r="B3" s="9">
        <v>187</v>
      </c>
      <c r="C3" s="3" t="s">
        <v>9</v>
      </c>
      <c r="D3" s="2">
        <v>94</v>
      </c>
      <c r="E3" s="2">
        <v>80</v>
      </c>
      <c r="F3" s="2">
        <v>90</v>
      </c>
      <c r="G3" s="2">
        <v>75</v>
      </c>
      <c r="H3" s="6">
        <v>97</v>
      </c>
      <c r="I3" s="2" t="s">
        <v>30</v>
      </c>
      <c r="J3" s="2">
        <f>SUM(D3:H3)</f>
        <v>436</v>
      </c>
      <c r="K3" s="14">
        <f>AVERAGE(D3:H3)</f>
        <v>87.2</v>
      </c>
      <c r="L3" s="14" t="str">
        <f>IF(AND(D3&gt;=50,E3&gt;=50,F3&gt;=50,G3&gt;=50,H3&gt;=50,OR(I3="A",I3="B",I4="C")),"Pass","Fail")</f>
        <v>Fail</v>
      </c>
      <c r="M3" s="14" t="str">
        <f>IF(AND(L3="PASS",K3&gt;=70),"DIST","NO DIST")</f>
        <v>NO DIST</v>
      </c>
    </row>
    <row r="4" spans="1:13" x14ac:dyDescent="0.25">
      <c r="A4" s="9">
        <v>9</v>
      </c>
      <c r="B4" s="9">
        <v>189</v>
      </c>
      <c r="C4" s="3" t="s">
        <v>11</v>
      </c>
      <c r="D4" s="2">
        <v>96</v>
      </c>
      <c r="E4" s="2">
        <v>78</v>
      </c>
      <c r="F4" s="2">
        <v>86</v>
      </c>
      <c r="G4" s="2">
        <v>96</v>
      </c>
      <c r="H4" s="6">
        <v>75</v>
      </c>
      <c r="I4" s="2" t="s">
        <v>28</v>
      </c>
      <c r="J4" s="2">
        <f>SUM(D4:H4)</f>
        <v>431</v>
      </c>
      <c r="K4" s="14">
        <f>AVERAGE(D4:H4)</f>
        <v>86.2</v>
      </c>
      <c r="L4" s="14" t="str">
        <f>IF(AND(D4&gt;=50,E4&gt;=50,F4&gt;=50,G4&gt;=50,H4&gt;=50,OR(I4="A",I4="B",I5="C")),"Pass","Fail")</f>
        <v>Pass</v>
      </c>
      <c r="M4" s="14" t="str">
        <f>IF(AND(L4="PASS",K4&gt;=70),"DIST","NO DIST")</f>
        <v>DIST</v>
      </c>
    </row>
    <row r="5" spans="1:13" x14ac:dyDescent="0.25">
      <c r="A5" s="9">
        <v>5</v>
      </c>
      <c r="B5" s="9">
        <v>185</v>
      </c>
      <c r="C5" s="3" t="s">
        <v>7</v>
      </c>
      <c r="D5" s="2">
        <v>78</v>
      </c>
      <c r="E5" s="2">
        <v>76</v>
      </c>
      <c r="F5" s="2">
        <v>96</v>
      </c>
      <c r="G5" s="2">
        <v>84</v>
      </c>
      <c r="H5" s="7">
        <v>92</v>
      </c>
      <c r="I5" s="2" t="s">
        <v>28</v>
      </c>
      <c r="J5" s="2">
        <f>SUM(D5:H5)</f>
        <v>426</v>
      </c>
      <c r="K5" s="14">
        <f>AVERAGE(D5:H5)</f>
        <v>85.2</v>
      </c>
      <c r="L5" s="14" t="str">
        <f>IF(AND(D5&gt;=50,E5&gt;=50,F5&gt;=50,G5&gt;=50,H5&gt;=50,OR(I5="A",I5="B",I6="C")),"Pass","Fail")</f>
        <v>Pass</v>
      </c>
      <c r="M5" s="14" t="str">
        <f>IF(AND(L5="PASS",K5&gt;=70),"DIST","NO DIST")</f>
        <v>DIST</v>
      </c>
    </row>
    <row r="6" spans="1:13" x14ac:dyDescent="0.25">
      <c r="A6" s="9">
        <v>6</v>
      </c>
      <c r="B6" s="9">
        <v>186</v>
      </c>
      <c r="C6" s="3" t="s">
        <v>8</v>
      </c>
      <c r="D6" s="2">
        <v>75</v>
      </c>
      <c r="E6" s="2">
        <v>95</v>
      </c>
      <c r="F6" s="2">
        <v>84</v>
      </c>
      <c r="G6" s="2">
        <v>78</v>
      </c>
      <c r="H6" s="7">
        <v>94</v>
      </c>
      <c r="I6" s="2" t="s">
        <v>29</v>
      </c>
      <c r="J6" s="2">
        <f>SUM(D6:H6)</f>
        <v>426</v>
      </c>
      <c r="K6" s="14">
        <f>AVERAGE(D6:H6)</f>
        <v>85.2</v>
      </c>
      <c r="L6" s="14" t="str">
        <f>IF(AND(D6&gt;=50,E6&gt;=50,F6&gt;=50,G6&gt;=50,H6&gt;=50,OR(I6="A",I6="B",I7="C")),"Pass","Fail")</f>
        <v>Pass</v>
      </c>
      <c r="M6" s="14" t="str">
        <f>IF(AND(L6="PASS",K6&gt;=70),"DIST","NO DIST")</f>
        <v>DIST</v>
      </c>
    </row>
    <row r="7" spans="1:13" x14ac:dyDescent="0.25">
      <c r="A7" s="9">
        <v>2</v>
      </c>
      <c r="B7" s="9">
        <v>181</v>
      </c>
      <c r="C7" s="3" t="s">
        <v>4</v>
      </c>
      <c r="D7" s="2">
        <v>90</v>
      </c>
      <c r="E7" s="2">
        <v>85</v>
      </c>
      <c r="F7" s="2">
        <v>78</v>
      </c>
      <c r="G7" s="2">
        <v>75</v>
      </c>
      <c r="H7" s="7">
        <v>96</v>
      </c>
      <c r="I7" s="2" t="s">
        <v>29</v>
      </c>
      <c r="J7" s="2">
        <f>SUM(D7:H7)</f>
        <v>424</v>
      </c>
      <c r="K7" s="14">
        <f>AVERAGE(D7:H7)</f>
        <v>84.8</v>
      </c>
      <c r="L7" s="14" t="str">
        <f>IF(AND(D7&gt;=50,E7&gt;=50,F7&gt;=50,G7&gt;=50,H7&gt;=50,OR(I7="A",I7="B",I8="C")),"Pass","Fail")</f>
        <v>Pass</v>
      </c>
      <c r="M7" s="14" t="str">
        <f>IF(AND(L7="PASS",K7&gt;=70),"DIST","NO DIST")</f>
        <v>DIST</v>
      </c>
    </row>
    <row r="8" spans="1:13" x14ac:dyDescent="0.25">
      <c r="A8" s="9">
        <v>12</v>
      </c>
      <c r="B8" s="9">
        <v>192</v>
      </c>
      <c r="C8" s="3" t="s">
        <v>14</v>
      </c>
      <c r="D8" s="2">
        <v>85</v>
      </c>
      <c r="E8" s="2">
        <v>96</v>
      </c>
      <c r="F8" s="2">
        <v>95</v>
      </c>
      <c r="G8" s="2">
        <v>72</v>
      </c>
      <c r="H8" s="7">
        <v>74</v>
      </c>
      <c r="I8" s="2" t="s">
        <v>28</v>
      </c>
      <c r="J8" s="2">
        <f>SUM(D8:H8)</f>
        <v>422</v>
      </c>
      <c r="K8" s="14">
        <f>AVERAGE(D8:H8)</f>
        <v>84.4</v>
      </c>
      <c r="L8" s="14" t="str">
        <f>IF(AND(D8&gt;=50,E8&gt;=50,F8&gt;=50,G8&gt;=50,H8&gt;=50,OR(I8="A",I8="B",I9="C")),"Pass","Fail")</f>
        <v>Pass</v>
      </c>
      <c r="M8" s="14" t="str">
        <f>IF(AND(L8="PASS",K8&gt;=70),"DIST","NO DIST")</f>
        <v>DIST</v>
      </c>
    </row>
    <row r="9" spans="1:13" x14ac:dyDescent="0.25">
      <c r="A9" s="9">
        <v>8</v>
      </c>
      <c r="B9" s="9">
        <v>188</v>
      </c>
      <c r="C9" s="3" t="s">
        <v>10</v>
      </c>
      <c r="D9" s="2">
        <v>96</v>
      </c>
      <c r="E9" s="2">
        <v>55</v>
      </c>
      <c r="F9" s="2">
        <v>85</v>
      </c>
      <c r="G9" s="2">
        <v>94</v>
      </c>
      <c r="H9" s="7">
        <v>79</v>
      </c>
      <c r="I9" s="2" t="s">
        <v>31</v>
      </c>
      <c r="J9" s="2">
        <f>SUM(D9:H9)</f>
        <v>409</v>
      </c>
      <c r="K9" s="14">
        <f>AVERAGE(D9:H9)</f>
        <v>81.8</v>
      </c>
      <c r="L9" s="14" t="str">
        <f>IF(AND(D9&gt;=50,E9&gt;=50,F9&gt;=50,G9&gt;=50,H9&gt;=50,OR(I9="A",I9="B",I10="C")),"Pass","Fail")</f>
        <v>Pass</v>
      </c>
      <c r="M9" s="14" t="str">
        <f>IF(AND(L9="PASS",K9&gt;=70),"DIST","NO DIST")</f>
        <v>DIST</v>
      </c>
    </row>
    <row r="10" spans="1:13" x14ac:dyDescent="0.25">
      <c r="A10" s="9">
        <v>10</v>
      </c>
      <c r="B10" s="9">
        <v>190</v>
      </c>
      <c r="C10" s="3" t="s">
        <v>12</v>
      </c>
      <c r="D10" s="2">
        <v>75</v>
      </c>
      <c r="E10" s="2">
        <v>84</v>
      </c>
      <c r="F10" s="2">
        <v>68</v>
      </c>
      <c r="G10" s="2">
        <v>96</v>
      </c>
      <c r="H10" s="7">
        <v>74</v>
      </c>
      <c r="I10" s="2" t="s">
        <v>30</v>
      </c>
      <c r="J10" s="2">
        <f>SUM(D10:H10)</f>
        <v>397</v>
      </c>
      <c r="K10" s="14">
        <f>AVERAGE(D10:H10)</f>
        <v>79.400000000000006</v>
      </c>
      <c r="L10" s="14" t="str">
        <f>IF(AND(D10&gt;=50,E10&gt;=50,F10&gt;=50,G10&gt;=50,H10&gt;=50,OR(I10="A",I10="B",I11="C")),"Pass","Fail")</f>
        <v>Fail</v>
      </c>
      <c r="M10" s="14" t="str">
        <f>IF(AND(L10="PASS",K10&gt;=70),"DIST","NO DIST")</f>
        <v>NO DIST</v>
      </c>
    </row>
    <row r="11" spans="1:13" x14ac:dyDescent="0.25">
      <c r="A11" s="9">
        <v>4</v>
      </c>
      <c r="B11" s="9">
        <v>184</v>
      </c>
      <c r="C11" s="3" t="s">
        <v>6</v>
      </c>
      <c r="D11" s="2">
        <v>84</v>
      </c>
      <c r="E11" s="2">
        <v>68</v>
      </c>
      <c r="F11" s="2">
        <v>54</v>
      </c>
      <c r="G11" s="2">
        <v>96</v>
      </c>
      <c r="H11" s="7">
        <v>93</v>
      </c>
      <c r="I11" s="2" t="s">
        <v>31</v>
      </c>
      <c r="J11" s="2">
        <f>SUM(D11:H11)</f>
        <v>395</v>
      </c>
      <c r="K11" s="14">
        <f>AVERAGE(D11:H11)</f>
        <v>79</v>
      </c>
      <c r="L11" s="14" t="str">
        <f>IF(AND(D11&gt;=50,E11&gt;=50,F11&gt;=50,G11&gt;=50,H11&gt;=50,OR(I11="A",I11="B",I12="C")),"Pass","Fail")</f>
        <v>Fail</v>
      </c>
      <c r="M11" s="14" t="str">
        <f>IF(AND(L11="PASS",K11&gt;=70),"DIST","NO DIST")</f>
        <v>NO DIST</v>
      </c>
    </row>
    <row r="12" spans="1:13" x14ac:dyDescent="0.25">
      <c r="A12" s="9">
        <v>1</v>
      </c>
      <c r="B12" s="9">
        <v>180</v>
      </c>
      <c r="C12" s="3" t="s">
        <v>3</v>
      </c>
      <c r="D12" s="2">
        <v>75</v>
      </c>
      <c r="E12" s="2">
        <v>90</v>
      </c>
      <c r="F12" s="2">
        <v>55</v>
      </c>
      <c r="G12" s="2">
        <v>85</v>
      </c>
      <c r="H12" s="7">
        <v>85</v>
      </c>
      <c r="I12" s="2" t="s">
        <v>28</v>
      </c>
      <c r="J12" s="2">
        <f>SUM(D12:H12)</f>
        <v>390</v>
      </c>
      <c r="K12" s="14">
        <f>AVERAGE(D12:H12)</f>
        <v>78</v>
      </c>
      <c r="L12" s="14" t="str">
        <f>IF(AND(D12&gt;=50,E12&gt;=50,F12&gt;=50,G12&gt;=50,H12&gt;=50,OR(I12="A",I12="B",I13="C")),"Pass","Fail")</f>
        <v>Pass</v>
      </c>
      <c r="M12" s="14" t="str">
        <f>IF(AND(L12="PASS",K12&gt;=70),"DIST","NO DIST")</f>
        <v>DIST</v>
      </c>
    </row>
    <row r="13" spans="1:13" x14ac:dyDescent="0.25">
      <c r="A13" s="9">
        <v>13</v>
      </c>
      <c r="B13" s="9">
        <v>193</v>
      </c>
      <c r="C13" s="3" t="s">
        <v>15</v>
      </c>
      <c r="D13" s="2">
        <v>90</v>
      </c>
      <c r="E13" s="2">
        <v>84</v>
      </c>
      <c r="F13" s="2">
        <v>80</v>
      </c>
      <c r="G13" s="2">
        <v>85</v>
      </c>
      <c r="H13" s="7">
        <v>51</v>
      </c>
      <c r="I13" s="6" t="s">
        <v>31</v>
      </c>
      <c r="J13" s="2">
        <f>SUM(D13:H13)</f>
        <v>390</v>
      </c>
      <c r="K13" s="14">
        <f>AVERAGE(D13:H13)</f>
        <v>78</v>
      </c>
      <c r="L13" s="14" t="str">
        <f>IF(AND(D13&gt;=50,E13&gt;=50,F13&gt;=50,G13&gt;=50,H13&gt;=50,OR(I13="A",I13="B",I14="C")),"Pass","Fail")</f>
        <v>Pass</v>
      </c>
      <c r="M13" s="14" t="str">
        <f>IF(AND(L13="PASS",K13&gt;=70),"DIST","NO DIST")</f>
        <v>DIST</v>
      </c>
    </row>
    <row r="14" spans="1:13" x14ac:dyDescent="0.25">
      <c r="A14" s="9">
        <v>15</v>
      </c>
      <c r="B14" s="9">
        <v>195</v>
      </c>
      <c r="C14" s="3" t="s">
        <v>17</v>
      </c>
      <c r="D14" s="2">
        <v>82</v>
      </c>
      <c r="E14" s="2">
        <v>55</v>
      </c>
      <c r="F14" s="2">
        <v>82</v>
      </c>
      <c r="G14" s="2">
        <v>81</v>
      </c>
      <c r="H14" s="7">
        <v>77</v>
      </c>
      <c r="I14" s="6" t="s">
        <v>30</v>
      </c>
      <c r="J14" s="2">
        <f>SUM(D14:H14)</f>
        <v>377</v>
      </c>
      <c r="K14" s="14">
        <f>AVERAGE(D14:H14)</f>
        <v>75.400000000000006</v>
      </c>
      <c r="L14" s="14" t="str">
        <f>IF(AND(D14&gt;=50,E14&gt;=50,F14&gt;=50,G14&gt;=50,H14&gt;=50,OR(I14="A",I14="B",I15="C")),"Pass","Fail")</f>
        <v>Fail</v>
      </c>
      <c r="M14" s="14" t="str">
        <f>IF(AND(L14="PASS",K14&gt;=70),"DIST","NO DIST")</f>
        <v>NO DIST</v>
      </c>
    </row>
    <row r="15" spans="1:13" x14ac:dyDescent="0.25">
      <c r="A15" s="9">
        <v>14</v>
      </c>
      <c r="B15" s="9">
        <v>194</v>
      </c>
      <c r="C15" s="3" t="s">
        <v>16</v>
      </c>
      <c r="D15" s="2">
        <v>81</v>
      </c>
      <c r="E15" s="2">
        <v>66</v>
      </c>
      <c r="F15" s="2">
        <v>81</v>
      </c>
      <c r="G15" s="2">
        <v>90</v>
      </c>
      <c r="H15" s="7">
        <v>55</v>
      </c>
      <c r="I15" s="7" t="s">
        <v>29</v>
      </c>
      <c r="J15" s="2">
        <f>SUM(D15:H15)</f>
        <v>373</v>
      </c>
      <c r="K15" s="14">
        <f>AVERAGE(D15:H15)</f>
        <v>74.599999999999994</v>
      </c>
      <c r="L15" s="14" t="str">
        <f>IF(AND(D15&gt;=50,E15&gt;=50,F15&gt;=50,G15&gt;=50,H15&gt;=50,OR(I15="A",I15="B",I16="C")),"Pass","Fail")</f>
        <v>Pass</v>
      </c>
      <c r="M15" s="14" t="str">
        <f>IF(AND(L15="PASS",K15&gt;=70),"DIST","NO DIST")</f>
        <v>DIST</v>
      </c>
    </row>
    <row r="16" spans="1:13" x14ac:dyDescent="0.25">
      <c r="A16" s="9">
        <v>11</v>
      </c>
      <c r="B16" s="9">
        <v>191</v>
      </c>
      <c r="C16" s="3" t="s">
        <v>13</v>
      </c>
      <c r="D16" s="2">
        <v>72</v>
      </c>
      <c r="E16" s="2">
        <v>54</v>
      </c>
      <c r="F16" s="2">
        <v>76</v>
      </c>
      <c r="G16" s="2">
        <v>75</v>
      </c>
      <c r="H16" s="7">
        <v>85</v>
      </c>
      <c r="I16" s="7" t="s">
        <v>31</v>
      </c>
      <c r="J16" s="2">
        <f>SUM(D16:H16)</f>
        <v>362</v>
      </c>
      <c r="K16" s="14">
        <f>AVERAGE(D16:H16)</f>
        <v>72.400000000000006</v>
      </c>
      <c r="L16" s="14" t="str">
        <f>IF(AND(D16&gt;=50,E16&gt;=50,F16&gt;=50,G16&gt;=50,H16&gt;=50,OR(I16="A",I16="B",I17="C")),"Pass","Fail")</f>
        <v>Fail</v>
      </c>
      <c r="M16" s="14" t="str">
        <f>IF(AND(L16="PASS",K16&gt;=70),"DIST","NO DIST")</f>
        <v>NO DIST</v>
      </c>
    </row>
    <row r="17" spans="7:7" x14ac:dyDescent="0.25">
      <c r="G1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LAB6</dc:creator>
  <cp:lastModifiedBy>SIT NGP. LAB6</cp:lastModifiedBy>
  <dcterms:created xsi:type="dcterms:W3CDTF">2025-10-08T03:44:00Z</dcterms:created>
  <dcterms:modified xsi:type="dcterms:W3CDTF">2025-10-08T05:02:44Z</dcterms:modified>
</cp:coreProperties>
</file>